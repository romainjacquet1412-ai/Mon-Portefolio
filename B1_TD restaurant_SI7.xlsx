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dv\Downloads\"/>
    </mc:Choice>
  </mc:AlternateContent>
  <xr:revisionPtr revIDLastSave="0" documentId="13_ncr:1_{6203145D-9047-4DED-92E8-8C64BB8AED8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onnées" sheetId="1" r:id="rId1"/>
    <sheet name="Bilan 2016" sheetId="2" r:id="rId2"/>
    <sheet name="Simulation Aide État (5%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3" l="1"/>
  <c r="N7" i="3"/>
  <c r="N7" i="2"/>
  <c r="N17" i="2"/>
  <c r="M13" i="3"/>
  <c r="L13" i="3"/>
  <c r="K13" i="3"/>
  <c r="J13" i="3"/>
  <c r="I13" i="3"/>
  <c r="H13" i="3"/>
  <c r="G13" i="3"/>
  <c r="F13" i="3"/>
  <c r="E13" i="3"/>
  <c r="D13" i="3"/>
  <c r="C13" i="3"/>
  <c r="B13" i="3"/>
  <c r="N13" i="3" s="1"/>
  <c r="M12" i="3"/>
  <c r="L12" i="3"/>
  <c r="K12" i="3"/>
  <c r="J12" i="3"/>
  <c r="I12" i="3"/>
  <c r="H12" i="3"/>
  <c r="G12" i="3"/>
  <c r="F12" i="3"/>
  <c r="E12" i="3"/>
  <c r="D12" i="3"/>
  <c r="C12" i="3"/>
  <c r="B12" i="3"/>
  <c r="N12" i="3" s="1"/>
  <c r="M11" i="3"/>
  <c r="L11" i="3"/>
  <c r="K11" i="3"/>
  <c r="J11" i="3"/>
  <c r="I11" i="3"/>
  <c r="H11" i="3"/>
  <c r="G11" i="3"/>
  <c r="F11" i="3"/>
  <c r="E11" i="3"/>
  <c r="D11" i="3"/>
  <c r="C11" i="3"/>
  <c r="B11" i="3"/>
  <c r="M10" i="3"/>
  <c r="L10" i="3"/>
  <c r="K10" i="3"/>
  <c r="J10" i="3"/>
  <c r="I10" i="3"/>
  <c r="H10" i="3"/>
  <c r="G10" i="3"/>
  <c r="F10" i="3"/>
  <c r="E10" i="3"/>
  <c r="D10" i="3"/>
  <c r="C10" i="3"/>
  <c r="B10" i="3"/>
  <c r="M9" i="3"/>
  <c r="L9" i="3"/>
  <c r="K9" i="3"/>
  <c r="J9" i="3"/>
  <c r="I9" i="3"/>
  <c r="H9" i="3"/>
  <c r="G9" i="3"/>
  <c r="F9" i="3"/>
  <c r="E9" i="3"/>
  <c r="D9" i="3"/>
  <c r="C9" i="3"/>
  <c r="B9" i="3"/>
  <c r="N9" i="3" s="1"/>
  <c r="M6" i="3"/>
  <c r="L6" i="3"/>
  <c r="K6" i="3"/>
  <c r="J6" i="3"/>
  <c r="I6" i="3"/>
  <c r="H6" i="3"/>
  <c r="G6" i="3"/>
  <c r="F6" i="3"/>
  <c r="E6" i="3"/>
  <c r="D6" i="3"/>
  <c r="C6" i="3"/>
  <c r="B6" i="3"/>
  <c r="N6" i="3" s="1"/>
  <c r="M5" i="3"/>
  <c r="M15" i="3" s="1"/>
  <c r="L5" i="3"/>
  <c r="L15" i="3" s="1"/>
  <c r="K5" i="3"/>
  <c r="K15" i="3" s="1"/>
  <c r="J5" i="3"/>
  <c r="J15" i="3" s="1"/>
  <c r="I5" i="3"/>
  <c r="I15" i="3" s="1"/>
  <c r="H5" i="3"/>
  <c r="H15" i="3" s="1"/>
  <c r="G5" i="3"/>
  <c r="G15" i="3" s="1"/>
  <c r="F5" i="3"/>
  <c r="F15" i="3" s="1"/>
  <c r="E5" i="3"/>
  <c r="E15" i="3" s="1"/>
  <c r="D5" i="3"/>
  <c r="D15" i="3" s="1"/>
  <c r="C5" i="3"/>
  <c r="C15" i="3" s="1"/>
  <c r="B5" i="3"/>
  <c r="M4" i="3"/>
  <c r="L4" i="3"/>
  <c r="K4" i="3"/>
  <c r="J4" i="3"/>
  <c r="I4" i="3"/>
  <c r="H4" i="3"/>
  <c r="G4" i="3"/>
  <c r="F4" i="3"/>
  <c r="E4" i="3"/>
  <c r="D4" i="3"/>
  <c r="C4" i="3"/>
  <c r="B4" i="3"/>
  <c r="N4" i="3" s="1"/>
  <c r="M3" i="3"/>
  <c r="L3" i="3"/>
  <c r="K3" i="3"/>
  <c r="J3" i="3"/>
  <c r="I3" i="3"/>
  <c r="H3" i="3"/>
  <c r="G3" i="3"/>
  <c r="F3" i="3"/>
  <c r="E3" i="3"/>
  <c r="D3" i="3"/>
  <c r="C3" i="3"/>
  <c r="B3" i="3"/>
  <c r="N3" i="3" s="1"/>
  <c r="M2" i="3"/>
  <c r="L2" i="3"/>
  <c r="K2" i="3"/>
  <c r="J2" i="3"/>
  <c r="I2" i="3"/>
  <c r="H2" i="3"/>
  <c r="G2" i="3"/>
  <c r="F2" i="3"/>
  <c r="E2" i="3"/>
  <c r="D2" i="3"/>
  <c r="C2" i="3"/>
  <c r="B2" i="3"/>
  <c r="M13" i="2"/>
  <c r="L13" i="2"/>
  <c r="K13" i="2"/>
  <c r="J13" i="2"/>
  <c r="I13" i="2"/>
  <c r="H13" i="2"/>
  <c r="G13" i="2"/>
  <c r="F13" i="2"/>
  <c r="E13" i="2"/>
  <c r="D13" i="2"/>
  <c r="C13" i="2"/>
  <c r="B13" i="2"/>
  <c r="N13" i="2" s="1"/>
  <c r="M12" i="2"/>
  <c r="L12" i="2"/>
  <c r="K12" i="2"/>
  <c r="J12" i="2"/>
  <c r="I12" i="2"/>
  <c r="H12" i="2"/>
  <c r="G12" i="2"/>
  <c r="F12" i="2"/>
  <c r="E12" i="2"/>
  <c r="D12" i="2"/>
  <c r="C12" i="2"/>
  <c r="B12" i="2"/>
  <c r="N12" i="2" s="1"/>
  <c r="M11" i="2"/>
  <c r="L11" i="2"/>
  <c r="K11" i="2"/>
  <c r="J11" i="2"/>
  <c r="I11" i="2"/>
  <c r="H11" i="2"/>
  <c r="G11" i="2"/>
  <c r="F11" i="2"/>
  <c r="E11" i="2"/>
  <c r="D11" i="2"/>
  <c r="C11" i="2"/>
  <c r="B11" i="2"/>
  <c r="N11" i="2" s="1"/>
  <c r="M10" i="2"/>
  <c r="L10" i="2"/>
  <c r="K10" i="2"/>
  <c r="J10" i="2"/>
  <c r="I10" i="2"/>
  <c r="H10" i="2"/>
  <c r="G10" i="2"/>
  <c r="F10" i="2"/>
  <c r="E10" i="2"/>
  <c r="D10" i="2"/>
  <c r="C10" i="2"/>
  <c r="B10" i="2"/>
  <c r="N10" i="2" s="1"/>
  <c r="M9" i="2"/>
  <c r="L9" i="2"/>
  <c r="K9" i="2"/>
  <c r="J9" i="2"/>
  <c r="I9" i="2"/>
  <c r="H9" i="2"/>
  <c r="G9" i="2"/>
  <c r="F9" i="2"/>
  <c r="E9" i="2"/>
  <c r="D9" i="2"/>
  <c r="C9" i="2"/>
  <c r="B9" i="2"/>
  <c r="M6" i="2"/>
  <c r="L6" i="2"/>
  <c r="K6" i="2"/>
  <c r="J6" i="2"/>
  <c r="I6" i="2"/>
  <c r="H6" i="2"/>
  <c r="G6" i="2"/>
  <c r="F6" i="2"/>
  <c r="E6" i="2"/>
  <c r="D6" i="2"/>
  <c r="C6" i="2"/>
  <c r="B6" i="2"/>
  <c r="N6" i="2" s="1"/>
  <c r="M5" i="2"/>
  <c r="M15" i="2" s="1"/>
  <c r="L5" i="2"/>
  <c r="L15" i="2" s="1"/>
  <c r="K5" i="2"/>
  <c r="K15" i="2" s="1"/>
  <c r="J5" i="2"/>
  <c r="J15" i="2" s="1"/>
  <c r="I5" i="2"/>
  <c r="I15" i="2" s="1"/>
  <c r="H5" i="2"/>
  <c r="H15" i="2" s="1"/>
  <c r="G5" i="2"/>
  <c r="G15" i="2" s="1"/>
  <c r="F5" i="2"/>
  <c r="F15" i="2" s="1"/>
  <c r="E5" i="2"/>
  <c r="E15" i="2" s="1"/>
  <c r="D5" i="2"/>
  <c r="D15" i="2" s="1"/>
  <c r="C5" i="2"/>
  <c r="C15" i="2" s="1"/>
  <c r="B5" i="2"/>
  <c r="M4" i="2"/>
  <c r="L4" i="2"/>
  <c r="K4" i="2"/>
  <c r="J4" i="2"/>
  <c r="I4" i="2"/>
  <c r="H4" i="2"/>
  <c r="G4" i="2"/>
  <c r="F4" i="2"/>
  <c r="E4" i="2"/>
  <c r="D4" i="2"/>
  <c r="C4" i="2"/>
  <c r="B4" i="2"/>
  <c r="N4" i="2" s="1"/>
  <c r="M3" i="2"/>
  <c r="L3" i="2"/>
  <c r="K3" i="2"/>
  <c r="J3" i="2"/>
  <c r="I3" i="2"/>
  <c r="H3" i="2"/>
  <c r="G3" i="2"/>
  <c r="F3" i="2"/>
  <c r="E3" i="2"/>
  <c r="D3" i="2"/>
  <c r="C3" i="2"/>
  <c r="B3" i="2"/>
  <c r="N3" i="2" s="1"/>
  <c r="M2" i="2"/>
  <c r="L2" i="2"/>
  <c r="K2" i="2"/>
  <c r="J2" i="2"/>
  <c r="I2" i="2"/>
  <c r="H2" i="2"/>
  <c r="G2" i="2"/>
  <c r="F2" i="2"/>
  <c r="E2" i="2"/>
  <c r="D2" i="2"/>
  <c r="C2" i="2"/>
  <c r="B2" i="2"/>
  <c r="C11" i="1"/>
  <c r="C10" i="1"/>
  <c r="B9" i="1"/>
  <c r="B8" i="1"/>
  <c r="C7" i="1"/>
  <c r="C6" i="1"/>
  <c r="B5" i="1"/>
  <c r="B12" i="1" s="1"/>
  <c r="C4" i="1"/>
  <c r="C12" i="1" s="1"/>
  <c r="N11" i="3" l="1"/>
  <c r="N10" i="3"/>
  <c r="B15" i="3"/>
  <c r="N15" i="3" s="1"/>
  <c r="N5" i="3"/>
  <c r="M14" i="3"/>
  <c r="M16" i="3" s="1"/>
  <c r="M7" i="3"/>
  <c r="L14" i="3"/>
  <c r="L16" i="3" s="1"/>
  <c r="L7" i="3"/>
  <c r="K14" i="3"/>
  <c r="K16" i="3" s="1"/>
  <c r="K7" i="3"/>
  <c r="J14" i="3"/>
  <c r="J16" i="3" s="1"/>
  <c r="J7" i="3"/>
  <c r="I14" i="3"/>
  <c r="I16" i="3" s="1"/>
  <c r="I7" i="3"/>
  <c r="H14" i="3"/>
  <c r="H16" i="3" s="1"/>
  <c r="H7" i="3"/>
  <c r="G14" i="3"/>
  <c r="G16" i="3" s="1"/>
  <c r="G7" i="3"/>
  <c r="F14" i="3"/>
  <c r="F16" i="3" s="1"/>
  <c r="F17" i="3" s="1"/>
  <c r="F7" i="3"/>
  <c r="E14" i="3"/>
  <c r="E16" i="3" s="1"/>
  <c r="E7" i="3"/>
  <c r="D14" i="3"/>
  <c r="D16" i="3" s="1"/>
  <c r="D7" i="3"/>
  <c r="C14" i="3"/>
  <c r="C16" i="3" s="1"/>
  <c r="C7" i="3"/>
  <c r="B14" i="3"/>
  <c r="B16" i="3" s="1"/>
  <c r="N2" i="3"/>
  <c r="B7" i="3"/>
  <c r="N9" i="2"/>
  <c r="B15" i="2"/>
  <c r="N15" i="2" s="1"/>
  <c r="N5" i="2"/>
  <c r="M14" i="2"/>
  <c r="M16" i="2" s="1"/>
  <c r="M7" i="2"/>
  <c r="L14" i="2"/>
  <c r="L16" i="2" s="1"/>
  <c r="L7" i="2"/>
  <c r="K14" i="2"/>
  <c r="K16" i="2" s="1"/>
  <c r="K7" i="2"/>
  <c r="J14" i="2"/>
  <c r="J16" i="2" s="1"/>
  <c r="J7" i="2"/>
  <c r="I14" i="2"/>
  <c r="I16" i="2" s="1"/>
  <c r="I7" i="2"/>
  <c r="H14" i="2"/>
  <c r="H16" i="2" s="1"/>
  <c r="H7" i="2"/>
  <c r="G14" i="2"/>
  <c r="G16" i="2" s="1"/>
  <c r="G7" i="2"/>
  <c r="F14" i="2"/>
  <c r="F16" i="2" s="1"/>
  <c r="F7" i="2"/>
  <c r="E7" i="2"/>
  <c r="E14" i="2"/>
  <c r="E16" i="2" s="1"/>
  <c r="D14" i="2"/>
  <c r="D16" i="2" s="1"/>
  <c r="D7" i="2"/>
  <c r="C7" i="2"/>
  <c r="C14" i="2"/>
  <c r="C16" i="2" s="1"/>
  <c r="B14" i="2"/>
  <c r="B16" i="2" s="1"/>
  <c r="N16" i="2" s="1"/>
  <c r="B7" i="2"/>
  <c r="N2" i="2"/>
  <c r="D8" i="2"/>
  <c r="D17" i="2" s="1"/>
  <c r="F8" i="2"/>
  <c r="F17" i="2" s="1"/>
  <c r="I8" i="2"/>
  <c r="I17" i="2" s="1"/>
  <c r="K8" i="2"/>
  <c r="K17" i="2" s="1"/>
  <c r="C8" i="2"/>
  <c r="C17" i="2" s="1"/>
  <c r="G8" i="2"/>
  <c r="G17" i="2" s="1"/>
  <c r="J8" i="2"/>
  <c r="J17" i="2" s="1"/>
  <c r="L8" i="2"/>
  <c r="L17" i="2" s="1"/>
  <c r="B8" i="3"/>
  <c r="C8" i="3"/>
  <c r="D8" i="3"/>
  <c r="E8" i="3"/>
  <c r="F8" i="3"/>
  <c r="G8" i="3"/>
  <c r="H8" i="3"/>
  <c r="I8" i="3"/>
  <c r="J8" i="3"/>
  <c r="K8" i="3"/>
  <c r="L8" i="3"/>
  <c r="M8" i="3"/>
  <c r="B8" i="2"/>
  <c r="E8" i="2"/>
  <c r="E17" i="2" s="1"/>
  <c r="H8" i="2"/>
  <c r="H17" i="2" s="1"/>
  <c r="M8" i="2"/>
  <c r="M17" i="2" s="1"/>
  <c r="I17" i="3" l="1"/>
  <c r="J17" i="3"/>
  <c r="J18" i="3" s="1"/>
  <c r="L17" i="3"/>
  <c r="L18" i="3" s="1"/>
  <c r="D17" i="3"/>
  <c r="K17" i="3"/>
  <c r="K18" i="3" s="1"/>
  <c r="M17" i="3"/>
  <c r="M18" i="3" s="1"/>
  <c r="N16" i="3"/>
  <c r="E17" i="3"/>
  <c r="E18" i="3" s="1"/>
  <c r="C17" i="3"/>
  <c r="G17" i="3"/>
  <c r="G18" i="3" s="1"/>
  <c r="H17" i="3"/>
  <c r="H18" i="3" s="1"/>
  <c r="B18" i="2"/>
  <c r="N18" i="2" s="1"/>
  <c r="N8" i="3"/>
  <c r="B17" i="3"/>
  <c r="N8" i="2"/>
  <c r="B17" i="2"/>
  <c r="I18" i="3"/>
  <c r="F18" i="3"/>
  <c r="D18" i="3"/>
  <c r="C18" i="3"/>
  <c r="N14" i="3"/>
  <c r="M18" i="2"/>
  <c r="L18" i="2"/>
  <c r="K18" i="2"/>
  <c r="J18" i="2"/>
  <c r="I18" i="2"/>
  <c r="H18" i="2"/>
  <c r="G18" i="2"/>
  <c r="F18" i="2"/>
  <c r="E18" i="2"/>
  <c r="D18" i="2"/>
  <c r="C18" i="2"/>
  <c r="N14" i="2"/>
  <c r="B18" i="3" l="1"/>
  <c r="N18" i="3" s="1"/>
</calcChain>
</file>

<file path=xl/sharedStrings.xml><?xml version="1.0" encoding="utf-8"?>
<sst xmlns="http://schemas.openxmlformats.org/spreadsheetml/2006/main" count="109" uniqueCount="58">
  <si>
    <t>Tableau des charges fixes</t>
  </si>
  <si>
    <t>par mois</t>
  </si>
  <si>
    <t>par an</t>
  </si>
  <si>
    <t>loyer</t>
  </si>
  <si>
    <t>cuisine</t>
  </si>
  <si>
    <t>factures edf eau</t>
  </si>
  <si>
    <t>entretien</t>
  </si>
  <si>
    <t>publicité</t>
  </si>
  <si>
    <t>prime assurance</t>
  </si>
  <si>
    <t>emprunt bancaire</t>
  </si>
  <si>
    <t>personnel</t>
  </si>
  <si>
    <t>TOTAL</t>
  </si>
  <si>
    <t>Tableau du prix des ventes</t>
  </si>
  <si>
    <t>prix / vente</t>
  </si>
  <si>
    <t>menu 1</t>
  </si>
  <si>
    <t>menu 2</t>
  </si>
  <si>
    <t>menu 3</t>
  </si>
  <si>
    <t>soft</t>
  </si>
  <si>
    <t>alcool</t>
  </si>
  <si>
    <t>Tableau des matières premières</t>
  </si>
  <si>
    <t>coût / vente</t>
  </si>
  <si>
    <t>taxe menu</t>
  </si>
  <si>
    <t>taxe menu (aide État)</t>
  </si>
  <si>
    <t>taxe boisson</t>
  </si>
  <si>
    <t>taxe boisson (aide État)</t>
  </si>
  <si>
    <t>Tableau répartition des ventes sur 2016</t>
  </si>
  <si>
    <t>Type de vente</t>
  </si>
  <si>
    <t>Jan</t>
  </si>
  <si>
    <t>Fév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</si>
  <si>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</si>
  <si>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</si>
  <si>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</si>
  <si>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</si>
  <si>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</si>
  <si>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</si>
  <si>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</si>
  <si>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</si>
  <si>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</si>
  <si>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</si>
  <si>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Menu 1</t>
  </si>
  <si>
    <t>Menu 2</t>
  </si>
  <si>
    <t>Menu 3</t>
  </si>
  <si>
    <t>Soft</t>
  </si>
  <si>
    <t>CA menu 1</t>
  </si>
  <si>
    <t>CA menu 2</t>
  </si>
  <si>
    <t>CA menu 3</t>
  </si>
  <si>
    <t>CA soft</t>
  </si>
  <si>
    <t>CA alcool</t>
  </si>
  <si>
    <t>TOTAL CA</t>
  </si>
  <si>
    <t>Charge fixe</t>
  </si>
  <si>
    <t>matière 1ère menu 1</t>
  </si>
  <si>
    <t>matière 1ère menu 2</t>
  </si>
  <si>
    <t>matière 1ère menu 3</t>
  </si>
  <si>
    <t>matière 1ère soft</t>
  </si>
  <si>
    <t>matière 1ère alcool</t>
  </si>
  <si>
    <t>charge variable</t>
  </si>
  <si>
    <t>total coûts</t>
  </si>
  <si>
    <t>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</si>
</sst>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1E293B"/>
      <name val="Arial"/>
      <family val="2"/>
    </font>
    <font>
      <b/>
      <sz val="12"/>
      <color rgb="FF1E293B"/>
      <name val="Arial"/>
      <family val="2"/>
    </font>
    <font>
      <i/>
      <sz val="12"/>
      <color rgb="FF64748B"/>
      <name val="Arial"/>
      <family val="2"/>
    </font>
    <font>
      <b/>
      <sz val="12"/>
      <color theme="5"/>
      <name val="Arial"/>
      <family val="2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rgb="FF1E3A8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3" fillId="2" borderId="2" xfId="0" applyFont="1" applyFill="1" applyBorder="1"/>
    <xf numFmtId="164" fontId="3" fillId="2" borderId="2" xfId="0" applyNumberFormat="1" applyFont="1" applyFill="1" applyBorder="1"/>
    <xf numFmtId="0" fontId="3" fillId="0" borderId="1" xfId="0" applyFont="1" applyBorder="1"/>
    <xf numFmtId="9" fontId="3" fillId="0" borderId="1" xfId="0" applyNumberFormat="1" applyFont="1" applyBorder="1"/>
    <xf numFmtId="0" fontId="4" fillId="0" borderId="0" xfId="0" applyFont="1"/>
    <xf numFmtId="9" fontId="3" fillId="0" borderId="0" xfId="0" applyNumberFormat="1" applyFont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4" borderId="0" xfId="0" applyFont="1" applyFill="1" applyAlignment="1">
      <alignment horizontal="center"/>
    </xf>
    <xf numFmtId="0" fontId="5" fillId="0" borderId="0" xfId="0" applyFont="1"/>
    <xf numFmtId="0" fontId="6" fillId="5" borderId="0" xfId="0" applyFont="1" applyFill="1"/>
    <xf numFmtId="164" fontId="2" fillId="2" borderId="1" xfId="0" applyNumberFormat="1" applyFont="1" applyFill="1" applyBorder="1" applyAlignment="1">
      <alignment horizontal="right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/>
  </cellXfs>
  <cellStyles count="1">
    <cellStyle name="Normal" xfId="0" builtinId="0"/>
  </cellStyles>
  <dxfs count="4">
    <dxf>
      <font>
        <b/>
        <sz val="10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b/>
        <sz val="10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10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b/>
        <sz val="10"/>
        <color rgb="FF991B1B"/>
        <name val="Segoe UI"/>
      </font>
      <fill>
        <patternFill patternType="solid">
          <fgColor rgb="FFFEE2E2"/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Évolution du Résultat Mensuel - Bilan 2016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000">
              <a:solidFill>
                <a:srgbClr val="1E3A8A"/>
              </a:solidFill>
              <a:prstDash val="solid"/>
            </a:ln>
          </c:spPr>
          <c:marker>
            <c:symbol val="none"/>
          </c:marker>
          <c:cat>
            <c:strRef>
              <c:f>'Bilan 2016'!$B$1:$M$1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'Bilan 2016'!$B$18:$M$18</c:f>
              <c:numCache>
                <c:formatCode>#\ ##0.00\ \€</c:formatCode>
                <c:ptCount val="12"/>
                <c:pt idx="0">
                  <c:v>-2100.6666666666679</c:v>
                </c:pt>
                <c:pt idx="1">
                  <c:v>-1427.6666666666679</c:v>
                </c:pt>
                <c:pt idx="2">
                  <c:v>299.33333333333212</c:v>
                </c:pt>
                <c:pt idx="3">
                  <c:v>-1353.6666666666679</c:v>
                </c:pt>
                <c:pt idx="4">
                  <c:v>-234.66666666666788</c:v>
                </c:pt>
                <c:pt idx="5">
                  <c:v>439.33333333333212</c:v>
                </c:pt>
                <c:pt idx="6">
                  <c:v>-1327.6666666666679</c:v>
                </c:pt>
                <c:pt idx="7">
                  <c:v>-715.66666666666788</c:v>
                </c:pt>
                <c:pt idx="8">
                  <c:v>-2289.6666666666679</c:v>
                </c:pt>
                <c:pt idx="9">
                  <c:v>-1786.6666666666679</c:v>
                </c:pt>
                <c:pt idx="10">
                  <c:v>249.33333333333212</c:v>
                </c:pt>
                <c:pt idx="11">
                  <c:v>-1680.6666666666679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1-43C1-B614-CA2C68F1C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Résultat (€)</a:t>
                </a:r>
              </a:p>
            </c:rich>
          </c:tx>
          <c:overlay val="0"/>
        </c:title>
        <c:numFmt formatCode="#\ 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Évolution du Résultat Mensuel - Simulation avec Taxes à 5%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000">
              <a:solidFill>
                <a:srgbClr val="1E3A8A"/>
              </a:solidFill>
              <a:prstDash val="solid"/>
            </a:ln>
          </c:spPr>
          <c:marker>
            <c:symbol val="none"/>
          </c:marker>
          <c:cat>
            <c:strRef>
              <c:f>'Simulation Aide État (5%)'!$B$1:$M$1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'Simulation Aide État (5%)'!$B$18:$M$18</c:f>
              <c:numCache>
                <c:formatCode>#\ ##0.00\ \€</c:formatCode>
                <c:ptCount val="12"/>
                <c:pt idx="0">
                  <c:v>-1575.1666666666679</c:v>
                </c:pt>
                <c:pt idx="1">
                  <c:v>-760.66666666666788</c:v>
                </c:pt>
                <c:pt idx="2">
                  <c:v>1217.3333333333321</c:v>
                </c:pt>
                <c:pt idx="3">
                  <c:v>-629.66666666666788</c:v>
                </c:pt>
                <c:pt idx="4">
                  <c:v>578.83333333333212</c:v>
                </c:pt>
                <c:pt idx="5">
                  <c:v>1384.8333333333321</c:v>
                </c:pt>
                <c:pt idx="6">
                  <c:v>-650.66666666666788</c:v>
                </c:pt>
                <c:pt idx="7">
                  <c:v>27.333333333332121</c:v>
                </c:pt>
                <c:pt idx="8">
                  <c:v>-1798.6666666666679</c:v>
                </c:pt>
                <c:pt idx="9">
                  <c:v>-1191.6666666666679</c:v>
                </c:pt>
                <c:pt idx="10">
                  <c:v>1164.8333333333321</c:v>
                </c:pt>
                <c:pt idx="11">
                  <c:v>-1082.6666666666679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A-4A62-A806-7C78E1057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Résultat (€)</a:t>
                </a:r>
              </a:p>
            </c:rich>
          </c:tx>
          <c:overlay val="0"/>
        </c:title>
        <c:numFmt formatCode="#\ 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opLeftCell="A12" workbookViewId="0">
      <selection activeCell="B17" sqref="B17"/>
    </sheetView>
  </sheetViews>
  <sheetFormatPr baseColWidth="10" defaultColWidth="9.140625" defaultRowHeight="15" x14ac:dyDescent="0.2"/>
  <cols>
    <col min="1" max="1" width="42" style="1" customWidth="1"/>
    <col min="2" max="3" width="15" style="1" customWidth="1"/>
    <col min="4" max="13" width="12" style="1" customWidth="1"/>
    <col min="14" max="16384" width="9.140625" style="1"/>
  </cols>
  <sheetData>
    <row r="1" spans="1:3" ht="15.75" x14ac:dyDescent="0.25">
      <c r="A1" s="13" t="s">
        <v>0</v>
      </c>
    </row>
    <row r="3" spans="1:3" ht="15.75" x14ac:dyDescent="0.25">
      <c r="B3" s="12" t="s">
        <v>1</v>
      </c>
      <c r="C3" s="12" t="s">
        <v>2</v>
      </c>
    </row>
    <row r="4" spans="1:3" x14ac:dyDescent="0.2">
      <c r="A4" s="2" t="s">
        <v>3</v>
      </c>
      <c r="B4" s="3">
        <v>1000</v>
      </c>
      <c r="C4" s="3">
        <f>B4*12</f>
        <v>12000</v>
      </c>
    </row>
    <row r="5" spans="1:3" x14ac:dyDescent="0.2">
      <c r="A5" s="2" t="s">
        <v>4</v>
      </c>
      <c r="B5" s="3">
        <f>C5/12</f>
        <v>250</v>
      </c>
      <c r="C5" s="3">
        <v>3000</v>
      </c>
    </row>
    <row r="6" spans="1:3" x14ac:dyDescent="0.2">
      <c r="A6" s="2" t="s">
        <v>5</v>
      </c>
      <c r="B6" s="3">
        <v>200</v>
      </c>
      <c r="C6" s="3">
        <f>B6*12</f>
        <v>2400</v>
      </c>
    </row>
    <row r="7" spans="1:3" x14ac:dyDescent="0.2">
      <c r="A7" s="2" t="s">
        <v>6</v>
      </c>
      <c r="B7" s="3">
        <v>100</v>
      </c>
      <c r="C7" s="3">
        <f>B7*12</f>
        <v>1200</v>
      </c>
    </row>
    <row r="8" spans="1:3" x14ac:dyDescent="0.2">
      <c r="A8" s="2" t="s">
        <v>7</v>
      </c>
      <c r="B8" s="3">
        <f>C8/12</f>
        <v>66.666666666666671</v>
      </c>
      <c r="C8" s="3">
        <v>800</v>
      </c>
    </row>
    <row r="9" spans="1:3" x14ac:dyDescent="0.2">
      <c r="A9" s="2" t="s">
        <v>8</v>
      </c>
      <c r="B9" s="3">
        <f>C9/12</f>
        <v>100</v>
      </c>
      <c r="C9" s="3">
        <v>1200</v>
      </c>
    </row>
    <row r="10" spans="1:3" x14ac:dyDescent="0.2">
      <c r="A10" s="2" t="s">
        <v>9</v>
      </c>
      <c r="B10" s="3">
        <v>250</v>
      </c>
      <c r="C10" s="3">
        <f>B10*12</f>
        <v>3000</v>
      </c>
    </row>
    <row r="11" spans="1:3" x14ac:dyDescent="0.2">
      <c r="A11" s="2" t="s">
        <v>10</v>
      </c>
      <c r="B11" s="3">
        <v>2730</v>
      </c>
      <c r="C11" s="3">
        <f>B11*12</f>
        <v>32760</v>
      </c>
    </row>
    <row r="12" spans="1:3" ht="15.75" x14ac:dyDescent="0.25">
      <c r="A12" s="4" t="s">
        <v>11</v>
      </c>
      <c r="B12" s="5">
        <f>SUM(B4:B11)</f>
        <v>4696.666666666667</v>
      </c>
      <c r="C12" s="5">
        <f>SUM(C4:C11)</f>
        <v>56360</v>
      </c>
    </row>
    <row r="14" spans="1:3" ht="15.75" x14ac:dyDescent="0.25">
      <c r="A14" s="13" t="s">
        <v>12</v>
      </c>
    </row>
    <row r="16" spans="1:3" ht="15.75" x14ac:dyDescent="0.25">
      <c r="B16" s="12" t="s">
        <v>13</v>
      </c>
    </row>
    <row r="17" spans="1:5" x14ac:dyDescent="0.2">
      <c r="A17" s="2" t="s">
        <v>14</v>
      </c>
      <c r="B17" s="3">
        <v>15</v>
      </c>
    </row>
    <row r="18" spans="1:5" x14ac:dyDescent="0.2">
      <c r="A18" s="2" t="s">
        <v>15</v>
      </c>
      <c r="B18" s="3">
        <v>25</v>
      </c>
    </row>
    <row r="19" spans="1:5" x14ac:dyDescent="0.2">
      <c r="A19" s="2" t="s">
        <v>16</v>
      </c>
      <c r="B19" s="3">
        <v>35</v>
      </c>
    </row>
    <row r="20" spans="1:5" x14ac:dyDescent="0.2">
      <c r="A20" s="2" t="s">
        <v>17</v>
      </c>
      <c r="B20" s="3">
        <v>3</v>
      </c>
    </row>
    <row r="21" spans="1:5" x14ac:dyDescent="0.2">
      <c r="A21" s="2" t="s">
        <v>18</v>
      </c>
      <c r="B21" s="3">
        <v>6</v>
      </c>
    </row>
    <row r="23" spans="1:5" ht="15.75" x14ac:dyDescent="0.25">
      <c r="A23" s="13" t="s">
        <v>19</v>
      </c>
    </row>
    <row r="25" spans="1:5" ht="15.75" x14ac:dyDescent="0.25">
      <c r="B25" s="12" t="s">
        <v>20</v>
      </c>
    </row>
    <row r="26" spans="1:5" x14ac:dyDescent="0.2">
      <c r="A26" s="2" t="s">
        <v>14</v>
      </c>
      <c r="B26" s="3">
        <v>10</v>
      </c>
    </row>
    <row r="27" spans="1:5" x14ac:dyDescent="0.2">
      <c r="A27" s="2" t="s">
        <v>15</v>
      </c>
      <c r="B27" s="3">
        <v>15</v>
      </c>
    </row>
    <row r="28" spans="1:5" x14ac:dyDescent="0.2">
      <c r="A28" s="2" t="s">
        <v>16</v>
      </c>
      <c r="B28" s="3">
        <v>20</v>
      </c>
    </row>
    <row r="29" spans="1:5" x14ac:dyDescent="0.2">
      <c r="A29" s="2" t="s">
        <v>17</v>
      </c>
      <c r="B29" s="3">
        <v>1</v>
      </c>
    </row>
    <row r="30" spans="1:5" x14ac:dyDescent="0.2">
      <c r="A30" s="2" t="s">
        <v>18</v>
      </c>
      <c r="B30" s="3">
        <v>2</v>
      </c>
    </row>
    <row r="32" spans="1:5" ht="15.75" x14ac:dyDescent="0.25">
      <c r="A32" s="6" t="s">
        <v>21</v>
      </c>
      <c r="B32" s="7">
        <v>0.1</v>
      </c>
      <c r="D32" s="8" t="s">
        <v>22</v>
      </c>
      <c r="E32" s="9">
        <v>0.05</v>
      </c>
    </row>
    <row r="33" spans="1:13" ht="15.75" x14ac:dyDescent="0.25">
      <c r="A33" s="6" t="s">
        <v>23</v>
      </c>
      <c r="B33" s="7">
        <v>0.2</v>
      </c>
      <c r="D33" s="8" t="s">
        <v>24</v>
      </c>
      <c r="E33" s="9">
        <v>0.05</v>
      </c>
    </row>
    <row r="36" spans="1:13" ht="15.75" x14ac:dyDescent="0.25">
      <c r="A36" s="13" t="s">
        <v>25</v>
      </c>
    </row>
    <row r="38" spans="1:13" ht="15.75" x14ac:dyDescent="0.25">
      <c r="A38" s="12" t="s">
        <v>26</v>
      </c>
      <c r="B38" s="12" t="s">
        <v>27</v>
      </c>
      <c r="C38" s="12" t="s">
        <v>28</v>
      </c>
      <c r="D38" s="12" t="s">
        <v>29</v>
      </c>
      <c r="E38" s="12" t="s">
        <v>30</v>
      </c>
      <c r="F38" s="12" t="s">
        <v>31</v>
      </c>
      <c r="G38" s="12" t="s">
        <v>32</v>
      </c>
      <c r="H38" s="12" t="s">
        <v>33</v>
      </c>
      <c r="I38" s="12" t="s">
        <v>34</v>
      </c>
      <c r="J38" s="12" t="s">
        <v>35</v>
      </c>
      <c r="K38" s="12" t="s">
        <v>36</v>
      </c>
      <c r="L38" s="12" t="s">
        <v>37</v>
      </c>
      <c r="M38" s="12" t="s">
        <v>38</v>
      </c>
    </row>
    <row r="39" spans="1:13" ht="15.75" x14ac:dyDescent="0.25">
      <c r="A39" s="6" t="s">
        <v>39</v>
      </c>
      <c r="B39" s="10">
        <v>130</v>
      </c>
      <c r="C39" s="10">
        <v>70</v>
      </c>
      <c r="D39" s="10">
        <v>250</v>
      </c>
      <c r="E39" s="10">
        <v>220</v>
      </c>
      <c r="F39" s="10">
        <v>70</v>
      </c>
      <c r="G39" s="10">
        <v>150</v>
      </c>
      <c r="H39" s="10">
        <v>100</v>
      </c>
      <c r="I39" s="10">
        <v>240</v>
      </c>
      <c r="J39" s="10">
        <v>60</v>
      </c>
      <c r="K39" s="10">
        <v>70</v>
      </c>
      <c r="L39" s="10">
        <v>100</v>
      </c>
      <c r="M39" s="10">
        <v>130</v>
      </c>
    </row>
    <row r="40" spans="1:13" ht="15.75" x14ac:dyDescent="0.25">
      <c r="A40" s="6" t="s">
        <v>40</v>
      </c>
      <c r="B40" s="10">
        <v>90</v>
      </c>
      <c r="C40" s="10">
        <v>90</v>
      </c>
      <c r="D40" s="10">
        <v>210</v>
      </c>
      <c r="E40" s="10">
        <v>80</v>
      </c>
      <c r="F40" s="10">
        <v>160</v>
      </c>
      <c r="G40" s="10">
        <v>140</v>
      </c>
      <c r="H40" s="10">
        <v>200</v>
      </c>
      <c r="I40" s="10">
        <v>150</v>
      </c>
      <c r="J40" s="10">
        <v>90</v>
      </c>
      <c r="K40" s="10">
        <v>170</v>
      </c>
      <c r="L40" s="10">
        <v>230</v>
      </c>
      <c r="M40" s="10">
        <v>60</v>
      </c>
    </row>
    <row r="41" spans="1:13" ht="15.75" x14ac:dyDescent="0.25">
      <c r="A41" s="6" t="s">
        <v>41</v>
      </c>
      <c r="B41" s="10">
        <v>80</v>
      </c>
      <c r="C41" s="10">
        <v>130</v>
      </c>
      <c r="D41" s="10">
        <v>180</v>
      </c>
      <c r="E41" s="10">
        <v>90</v>
      </c>
      <c r="F41" s="10">
        <v>210</v>
      </c>
      <c r="G41" s="10">
        <v>250</v>
      </c>
      <c r="H41" s="10">
        <v>70</v>
      </c>
      <c r="I41" s="10">
        <v>140</v>
      </c>
      <c r="J41" s="10">
        <v>80</v>
      </c>
      <c r="K41" s="10">
        <v>60</v>
      </c>
      <c r="L41" s="10">
        <v>190</v>
      </c>
      <c r="M41" s="10">
        <v>130</v>
      </c>
    </row>
    <row r="42" spans="1:13" ht="15.75" x14ac:dyDescent="0.25">
      <c r="A42" s="6" t="s">
        <v>42</v>
      </c>
      <c r="B42" s="10">
        <v>130</v>
      </c>
      <c r="C42" s="10">
        <v>250</v>
      </c>
      <c r="D42" s="10">
        <v>60</v>
      </c>
      <c r="E42" s="10">
        <v>190</v>
      </c>
      <c r="F42" s="10">
        <v>250</v>
      </c>
      <c r="G42" s="10">
        <v>130</v>
      </c>
      <c r="H42" s="10">
        <v>170</v>
      </c>
      <c r="I42" s="10">
        <v>110</v>
      </c>
      <c r="J42" s="10">
        <v>150</v>
      </c>
      <c r="K42" s="10">
        <v>60</v>
      </c>
      <c r="L42" s="10">
        <v>210</v>
      </c>
      <c r="M42" s="10">
        <v>60</v>
      </c>
    </row>
    <row r="43" spans="1:13" ht="15.75" x14ac:dyDescent="0.25">
      <c r="A43" s="6" t="s">
        <v>18</v>
      </c>
      <c r="B43" s="10">
        <v>130</v>
      </c>
      <c r="C43" s="10">
        <v>180</v>
      </c>
      <c r="D43" s="10">
        <v>140</v>
      </c>
      <c r="E43" s="10">
        <v>240</v>
      </c>
      <c r="F43" s="10">
        <v>90</v>
      </c>
      <c r="G43" s="10">
        <v>180</v>
      </c>
      <c r="H43" s="10">
        <v>170</v>
      </c>
      <c r="I43" s="10">
        <v>90</v>
      </c>
      <c r="J43" s="10">
        <v>140</v>
      </c>
      <c r="K43" s="10">
        <v>220</v>
      </c>
      <c r="L43" s="10">
        <v>140</v>
      </c>
      <c r="M43" s="10">
        <v>190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M26" sqref="M26"/>
    </sheetView>
  </sheetViews>
  <sheetFormatPr baseColWidth="10" defaultColWidth="9.140625" defaultRowHeight="15" x14ac:dyDescent="0.25"/>
  <cols>
    <col min="1" max="1" width="24" customWidth="1"/>
    <col min="2" max="14" width="14" customWidth="1"/>
  </cols>
  <sheetData>
    <row r="1" spans="1:14" ht="15.75" x14ac:dyDescent="0.25">
      <c r="A1" s="1"/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11</v>
      </c>
    </row>
    <row r="2" spans="1:14" ht="15.75" x14ac:dyDescent="0.25">
      <c r="A2" s="2" t="s">
        <v>43</v>
      </c>
      <c r="B2" s="11">
        <f>Données!B39*Données!$B$17</f>
        <v>1950</v>
      </c>
      <c r="C2" s="11">
        <f>Données!C39*Données!$B$17</f>
        <v>1050</v>
      </c>
      <c r="D2" s="11">
        <f>Données!D39*Données!$B$17</f>
        <v>3750</v>
      </c>
      <c r="E2" s="11">
        <f>Données!E39*Données!$B$17</f>
        <v>3300</v>
      </c>
      <c r="F2" s="11">
        <f>Données!F39*Données!$B$17</f>
        <v>1050</v>
      </c>
      <c r="G2" s="11">
        <f>Données!G39*Données!$B$17</f>
        <v>2250</v>
      </c>
      <c r="H2" s="11">
        <f>Données!H39*Données!$B$17</f>
        <v>1500</v>
      </c>
      <c r="I2" s="11">
        <f>Données!I39*Données!$B$17</f>
        <v>3600</v>
      </c>
      <c r="J2" s="11">
        <f>Données!J39*Données!$B$17</f>
        <v>900</v>
      </c>
      <c r="K2" s="11">
        <f>Données!K39*Données!$B$17</f>
        <v>1050</v>
      </c>
      <c r="L2" s="11">
        <f>Données!L39*Données!$B$17</f>
        <v>1500</v>
      </c>
      <c r="M2" s="11">
        <f>Données!M39*Données!$B$17</f>
        <v>1950</v>
      </c>
      <c r="N2" s="15">
        <f t="shared" ref="N2:N18" si="0">SUM(B2:M2)</f>
        <v>23850</v>
      </c>
    </row>
    <row r="3" spans="1:14" ht="15.75" x14ac:dyDescent="0.25">
      <c r="A3" s="2" t="s">
        <v>44</v>
      </c>
      <c r="B3" s="11">
        <f>Données!B40*Données!$B$18</f>
        <v>2250</v>
      </c>
      <c r="C3" s="11">
        <f>Données!C40*Données!$B$18</f>
        <v>2250</v>
      </c>
      <c r="D3" s="11">
        <f>Données!D40*Données!$B$18</f>
        <v>5250</v>
      </c>
      <c r="E3" s="11">
        <f>Données!E40*Données!$B$18</f>
        <v>2000</v>
      </c>
      <c r="F3" s="11">
        <f>Données!F40*Données!$B$18</f>
        <v>4000</v>
      </c>
      <c r="G3" s="11">
        <f>Données!G40*Données!$B$18</f>
        <v>3500</v>
      </c>
      <c r="H3" s="11">
        <f>Données!H40*Données!$B$18</f>
        <v>5000</v>
      </c>
      <c r="I3" s="11">
        <f>Données!I40*Données!$B$18</f>
        <v>3750</v>
      </c>
      <c r="J3" s="11">
        <f>Données!J40*Données!$B$18</f>
        <v>2250</v>
      </c>
      <c r="K3" s="11">
        <f>Données!K40*Données!$B$18</f>
        <v>4250</v>
      </c>
      <c r="L3" s="11">
        <f>Données!L40*Données!$B$18</f>
        <v>5750</v>
      </c>
      <c r="M3" s="11">
        <f>Données!M40*Données!$B$18</f>
        <v>1500</v>
      </c>
      <c r="N3" s="15">
        <f t="shared" si="0"/>
        <v>41750</v>
      </c>
    </row>
    <row r="4" spans="1:14" ht="15.75" x14ac:dyDescent="0.25">
      <c r="A4" s="2" t="s">
        <v>45</v>
      </c>
      <c r="B4" s="11">
        <f>Données!B41*Données!$B$19</f>
        <v>2800</v>
      </c>
      <c r="C4" s="11">
        <f>Données!C41*Données!$B$19</f>
        <v>4550</v>
      </c>
      <c r="D4" s="11">
        <f>Données!D41*Données!$B$19</f>
        <v>6300</v>
      </c>
      <c r="E4" s="11">
        <f>Données!E41*Données!$B$19</f>
        <v>3150</v>
      </c>
      <c r="F4" s="11">
        <f>Données!F41*Données!$B$19</f>
        <v>7350</v>
      </c>
      <c r="G4" s="11">
        <f>Données!G41*Données!$B$19</f>
        <v>8750</v>
      </c>
      <c r="H4" s="11">
        <f>Données!H41*Données!$B$19</f>
        <v>2450</v>
      </c>
      <c r="I4" s="11">
        <f>Données!I41*Données!$B$19</f>
        <v>4900</v>
      </c>
      <c r="J4" s="11">
        <f>Données!J41*Données!$B$19</f>
        <v>2800</v>
      </c>
      <c r="K4" s="11">
        <f>Données!K41*Données!$B$19</f>
        <v>2100</v>
      </c>
      <c r="L4" s="11">
        <f>Données!L41*Données!$B$19</f>
        <v>6650</v>
      </c>
      <c r="M4" s="11">
        <f>Données!M41*Données!$B$19</f>
        <v>4550</v>
      </c>
      <c r="N4" s="15">
        <f t="shared" si="0"/>
        <v>56350</v>
      </c>
    </row>
    <row r="5" spans="1:14" ht="15.75" x14ac:dyDescent="0.25">
      <c r="A5" s="2" t="s">
        <v>46</v>
      </c>
      <c r="B5" s="11">
        <f>Données!B42*Données!$B$20</f>
        <v>390</v>
      </c>
      <c r="C5" s="11">
        <f>Données!C42*Données!$B$20</f>
        <v>750</v>
      </c>
      <c r="D5" s="11">
        <f>Données!D42*Données!$B$20</f>
        <v>180</v>
      </c>
      <c r="E5" s="11">
        <f>Données!E42*Données!$B$20</f>
        <v>570</v>
      </c>
      <c r="F5" s="11">
        <f>Données!F42*Données!$B$20</f>
        <v>750</v>
      </c>
      <c r="G5" s="11">
        <f>Données!G42*Données!$B$20</f>
        <v>390</v>
      </c>
      <c r="H5" s="11">
        <f>Données!H42*Données!$B$20</f>
        <v>510</v>
      </c>
      <c r="I5" s="11">
        <f>Données!I42*Données!$B$20</f>
        <v>330</v>
      </c>
      <c r="J5" s="11">
        <f>Données!J42*Données!$B$20</f>
        <v>450</v>
      </c>
      <c r="K5" s="11">
        <f>Données!K42*Données!$B$20</f>
        <v>180</v>
      </c>
      <c r="L5" s="11">
        <f>Données!L42*Données!$B$20</f>
        <v>630</v>
      </c>
      <c r="M5" s="11">
        <f>Données!M42*Données!$B$20</f>
        <v>180</v>
      </c>
      <c r="N5" s="15">
        <f t="shared" si="0"/>
        <v>5310</v>
      </c>
    </row>
    <row r="6" spans="1:14" ht="15.75" x14ac:dyDescent="0.25">
      <c r="A6" s="2" t="s">
        <v>47</v>
      </c>
      <c r="B6" s="11">
        <f>Données!B43*Données!$B$21</f>
        <v>780</v>
      </c>
      <c r="C6" s="11">
        <f>Données!C43*Données!$B$21</f>
        <v>1080</v>
      </c>
      <c r="D6" s="11">
        <f>Données!D43*Données!$B$21</f>
        <v>840</v>
      </c>
      <c r="E6" s="11">
        <f>Données!E43*Données!$B$21</f>
        <v>1440</v>
      </c>
      <c r="F6" s="11">
        <f>Données!F43*Données!$B$21</f>
        <v>540</v>
      </c>
      <c r="G6" s="11">
        <f>Données!G43*Données!$B$21</f>
        <v>1080</v>
      </c>
      <c r="H6" s="11">
        <f>Données!H43*Données!$B$21</f>
        <v>1020</v>
      </c>
      <c r="I6" s="11">
        <f>Données!I43*Données!$B$21</f>
        <v>540</v>
      </c>
      <c r="J6" s="11">
        <f>Données!J43*Données!$B$21</f>
        <v>840</v>
      </c>
      <c r="K6" s="11">
        <f>Données!K43*Données!$B$21</f>
        <v>1320</v>
      </c>
      <c r="L6" s="11">
        <f>Données!L43*Données!$B$21</f>
        <v>840</v>
      </c>
      <c r="M6" s="11">
        <f>Données!M43*Données!$B$21</f>
        <v>1140</v>
      </c>
      <c r="N6" s="15">
        <f t="shared" si="0"/>
        <v>11460</v>
      </c>
    </row>
    <row r="7" spans="1:14" ht="15.75" x14ac:dyDescent="0.25">
      <c r="A7" s="16" t="s">
        <v>48</v>
      </c>
      <c r="B7" s="17">
        <f t="shared" ref="B7:M7" si="1">SUM(B2:B6)</f>
        <v>8170</v>
      </c>
      <c r="C7" s="17">
        <f t="shared" si="1"/>
        <v>9680</v>
      </c>
      <c r="D7" s="17">
        <f t="shared" si="1"/>
        <v>16320</v>
      </c>
      <c r="E7" s="17">
        <f t="shared" si="1"/>
        <v>10460</v>
      </c>
      <c r="F7" s="17">
        <f t="shared" si="1"/>
        <v>13690</v>
      </c>
      <c r="G7" s="17">
        <f t="shared" si="1"/>
        <v>15970</v>
      </c>
      <c r="H7" s="17">
        <f t="shared" si="1"/>
        <v>10480</v>
      </c>
      <c r="I7" s="17">
        <f t="shared" si="1"/>
        <v>13120</v>
      </c>
      <c r="J7" s="17">
        <f t="shared" si="1"/>
        <v>7240</v>
      </c>
      <c r="K7" s="17">
        <f t="shared" si="1"/>
        <v>8900</v>
      </c>
      <c r="L7" s="17">
        <f t="shared" si="1"/>
        <v>15370</v>
      </c>
      <c r="M7" s="17">
        <f t="shared" si="1"/>
        <v>9320</v>
      </c>
      <c r="N7" s="18">
        <f>SUM(B7:M7)</f>
        <v>138720</v>
      </c>
    </row>
    <row r="8" spans="1:14" ht="15.75" x14ac:dyDescent="0.25">
      <c r="A8" s="2" t="s">
        <v>49</v>
      </c>
      <c r="B8" s="11">
        <f>Données!$B$12</f>
        <v>4696.666666666667</v>
      </c>
      <c r="C8" s="11">
        <f>Données!$B$12</f>
        <v>4696.666666666667</v>
      </c>
      <c r="D8" s="11">
        <f>Données!$B$12</f>
        <v>4696.666666666667</v>
      </c>
      <c r="E8" s="11">
        <f>Données!$B$12</f>
        <v>4696.666666666667</v>
      </c>
      <c r="F8" s="11">
        <f>Données!$B$12</f>
        <v>4696.666666666667</v>
      </c>
      <c r="G8" s="11">
        <f>Données!$B$12</f>
        <v>4696.666666666667</v>
      </c>
      <c r="H8" s="11">
        <f>Données!$B$12</f>
        <v>4696.666666666667</v>
      </c>
      <c r="I8" s="11">
        <f>Données!$B$12</f>
        <v>4696.666666666667</v>
      </c>
      <c r="J8" s="11">
        <f>Données!$B$12</f>
        <v>4696.666666666667</v>
      </c>
      <c r="K8" s="11">
        <f>Données!$B$12</f>
        <v>4696.666666666667</v>
      </c>
      <c r="L8" s="11">
        <f>Données!$B$12</f>
        <v>4696.666666666667</v>
      </c>
      <c r="M8" s="11">
        <f>Données!$B$12</f>
        <v>4696.666666666667</v>
      </c>
      <c r="N8" s="15">
        <f t="shared" si="0"/>
        <v>56359.999999999993</v>
      </c>
    </row>
    <row r="9" spans="1:14" ht="15.75" x14ac:dyDescent="0.25">
      <c r="A9" s="2" t="s">
        <v>50</v>
      </c>
      <c r="B9" s="11">
        <f>Données!B39*Données!$B$26</f>
        <v>1300</v>
      </c>
      <c r="C9" s="11">
        <f>Données!C39*Données!$B$26</f>
        <v>700</v>
      </c>
      <c r="D9" s="11">
        <f>Données!D39*Données!$B$26</f>
        <v>2500</v>
      </c>
      <c r="E9" s="11">
        <f>Données!E39*Données!$B$26</f>
        <v>2200</v>
      </c>
      <c r="F9" s="11">
        <f>Données!F39*Données!$B$26</f>
        <v>700</v>
      </c>
      <c r="G9" s="11">
        <f>Données!G39*Données!$B$26</f>
        <v>1500</v>
      </c>
      <c r="H9" s="11">
        <f>Données!H39*Données!$B$26</f>
        <v>1000</v>
      </c>
      <c r="I9" s="11">
        <f>Données!I39*Données!$B$26</f>
        <v>2400</v>
      </c>
      <c r="J9" s="11">
        <f>Données!J39*Données!$B$26</f>
        <v>600</v>
      </c>
      <c r="K9" s="11">
        <f>Données!K39*Données!$B$26</f>
        <v>700</v>
      </c>
      <c r="L9" s="11">
        <f>Données!L39*Données!$B$26</f>
        <v>1000</v>
      </c>
      <c r="M9" s="11">
        <f>Données!M39*Données!$B$26</f>
        <v>1300</v>
      </c>
      <c r="N9" s="15">
        <f t="shared" si="0"/>
        <v>15900</v>
      </c>
    </row>
    <row r="10" spans="1:14" ht="15.75" x14ac:dyDescent="0.25">
      <c r="A10" s="2" t="s">
        <v>51</v>
      </c>
      <c r="B10" s="11">
        <f>Données!B40*Données!$B$27</f>
        <v>1350</v>
      </c>
      <c r="C10" s="11">
        <f>Données!C40*Données!$B$27</f>
        <v>1350</v>
      </c>
      <c r="D10" s="11">
        <f>Données!D40*Données!$B$27</f>
        <v>3150</v>
      </c>
      <c r="E10" s="11">
        <f>Données!E40*Données!$B$27</f>
        <v>1200</v>
      </c>
      <c r="F10" s="11">
        <f>Données!F40*Données!$B$27</f>
        <v>2400</v>
      </c>
      <c r="G10" s="11">
        <f>Données!G40*Données!$B$27</f>
        <v>2100</v>
      </c>
      <c r="H10" s="11">
        <f>Données!H40*Données!$B$27</f>
        <v>3000</v>
      </c>
      <c r="I10" s="11">
        <f>Données!I40*Données!$B$27</f>
        <v>2250</v>
      </c>
      <c r="J10" s="11">
        <f>Données!J40*Données!$B$27</f>
        <v>1350</v>
      </c>
      <c r="K10" s="11">
        <f>Données!K40*Données!$B$27</f>
        <v>2550</v>
      </c>
      <c r="L10" s="11">
        <f>Données!L40*Données!$B$27</f>
        <v>3450</v>
      </c>
      <c r="M10" s="11">
        <f>Données!M40*Données!$B$27</f>
        <v>900</v>
      </c>
      <c r="N10" s="15">
        <f t="shared" si="0"/>
        <v>25050</v>
      </c>
    </row>
    <row r="11" spans="1:14" ht="15.75" x14ac:dyDescent="0.25">
      <c r="A11" s="2" t="s">
        <v>52</v>
      </c>
      <c r="B11" s="11">
        <f>Données!B41*Données!$B$28</f>
        <v>1600</v>
      </c>
      <c r="C11" s="11">
        <f>Données!C41*Données!$B$28</f>
        <v>2600</v>
      </c>
      <c r="D11" s="11">
        <f>Données!D41*Données!$B$28</f>
        <v>3600</v>
      </c>
      <c r="E11" s="11">
        <f>Données!E41*Données!$B$28</f>
        <v>1800</v>
      </c>
      <c r="F11" s="11">
        <f>Données!F41*Données!$B$28</f>
        <v>4200</v>
      </c>
      <c r="G11" s="11">
        <f>Données!G41*Données!$B$28</f>
        <v>5000</v>
      </c>
      <c r="H11" s="11">
        <f>Données!H41*Données!$B$28</f>
        <v>1400</v>
      </c>
      <c r="I11" s="11">
        <f>Données!I41*Données!$B$28</f>
        <v>2800</v>
      </c>
      <c r="J11" s="11">
        <f>Données!J41*Données!$B$28</f>
        <v>1600</v>
      </c>
      <c r="K11" s="11">
        <f>Données!K41*Données!$B$28</f>
        <v>1200</v>
      </c>
      <c r="L11" s="11">
        <f>Données!L41*Données!$B$28</f>
        <v>3800</v>
      </c>
      <c r="M11" s="11">
        <f>Données!M41*Données!$B$28</f>
        <v>2600</v>
      </c>
      <c r="N11" s="15">
        <f t="shared" si="0"/>
        <v>32200</v>
      </c>
    </row>
    <row r="12" spans="1:14" ht="15.75" x14ac:dyDescent="0.25">
      <c r="A12" s="2" t="s">
        <v>53</v>
      </c>
      <c r="B12" s="11">
        <f>Données!B42*Données!$B$29</f>
        <v>130</v>
      </c>
      <c r="C12" s="11">
        <f>Données!C42*Données!$B$29</f>
        <v>250</v>
      </c>
      <c r="D12" s="11">
        <f>Données!D42*Données!$B$29</f>
        <v>60</v>
      </c>
      <c r="E12" s="11">
        <f>Données!E42*Données!$B$29</f>
        <v>190</v>
      </c>
      <c r="F12" s="11">
        <f>Données!F42*Données!$B$29</f>
        <v>250</v>
      </c>
      <c r="G12" s="11">
        <f>Données!G42*Données!$B$29</f>
        <v>130</v>
      </c>
      <c r="H12" s="11">
        <f>Données!H42*Données!$B$29</f>
        <v>170</v>
      </c>
      <c r="I12" s="11">
        <f>Données!I42*Données!$B$29</f>
        <v>110</v>
      </c>
      <c r="J12" s="11">
        <f>Données!J42*Données!$B$29</f>
        <v>150</v>
      </c>
      <c r="K12" s="11">
        <f>Données!K42*Données!$B$29</f>
        <v>60</v>
      </c>
      <c r="L12" s="11">
        <f>Données!L42*Données!$B$29</f>
        <v>210</v>
      </c>
      <c r="M12" s="11">
        <f>Données!M42*Données!$B$29</f>
        <v>60</v>
      </c>
      <c r="N12" s="15">
        <f t="shared" si="0"/>
        <v>1770</v>
      </c>
    </row>
    <row r="13" spans="1:14" ht="15.75" x14ac:dyDescent="0.25">
      <c r="A13" s="2" t="s">
        <v>54</v>
      </c>
      <c r="B13" s="11">
        <f>Données!B43*Données!$B$30</f>
        <v>260</v>
      </c>
      <c r="C13" s="11">
        <f>Données!C43*Données!$B$30</f>
        <v>360</v>
      </c>
      <c r="D13" s="11">
        <f>Données!D43*Données!$B$30</f>
        <v>280</v>
      </c>
      <c r="E13" s="11">
        <f>Données!E43*Données!$B$30</f>
        <v>480</v>
      </c>
      <c r="F13" s="11">
        <f>Données!F43*Données!$B$30</f>
        <v>180</v>
      </c>
      <c r="G13" s="11">
        <f>Données!G43*Données!$B$30</f>
        <v>360</v>
      </c>
      <c r="H13" s="11">
        <f>Données!H43*Données!$B$30</f>
        <v>340</v>
      </c>
      <c r="I13" s="11">
        <f>Données!I43*Données!$B$30</f>
        <v>180</v>
      </c>
      <c r="J13" s="11">
        <f>Données!J43*Données!$B$30</f>
        <v>280</v>
      </c>
      <c r="K13" s="11">
        <f>Données!K43*Données!$B$30</f>
        <v>440</v>
      </c>
      <c r="L13" s="11">
        <f>Données!L43*Données!$B$30</f>
        <v>280</v>
      </c>
      <c r="M13" s="11">
        <f>Données!M43*Données!$B$30</f>
        <v>380</v>
      </c>
      <c r="N13" s="15">
        <f t="shared" si="0"/>
        <v>3820</v>
      </c>
    </row>
    <row r="14" spans="1:14" ht="15.75" x14ac:dyDescent="0.25">
      <c r="A14" s="2" t="s">
        <v>21</v>
      </c>
      <c r="B14" s="11">
        <f>SUM(B2:B4)*Données!$B$32</f>
        <v>700</v>
      </c>
      <c r="C14" s="11">
        <f>SUM(C2:C4)*Données!$B$32</f>
        <v>785</v>
      </c>
      <c r="D14" s="11">
        <f>SUM(D2:D4)*Données!$B$32</f>
        <v>1530</v>
      </c>
      <c r="E14" s="11">
        <f>SUM(E2:E4)*Données!$B$32</f>
        <v>845</v>
      </c>
      <c r="F14" s="11">
        <f>SUM(F2:F4)*Données!$B$32</f>
        <v>1240</v>
      </c>
      <c r="G14" s="11">
        <f>SUM(G2:G4)*Données!$B$32</f>
        <v>1450</v>
      </c>
      <c r="H14" s="11">
        <f>SUM(H2:H4)*Données!$B$32</f>
        <v>895</v>
      </c>
      <c r="I14" s="11">
        <f>SUM(I2:I4)*Données!$B$32</f>
        <v>1225</v>
      </c>
      <c r="J14" s="11">
        <f>SUM(J2:J4)*Données!$B$32</f>
        <v>595</v>
      </c>
      <c r="K14" s="11">
        <f>SUM(K2:K4)*Données!$B$32</f>
        <v>740</v>
      </c>
      <c r="L14" s="11">
        <f>SUM(L2:L4)*Données!$B$32</f>
        <v>1390</v>
      </c>
      <c r="M14" s="11">
        <f>SUM(M2:M4)*Données!$B$32</f>
        <v>800</v>
      </c>
      <c r="N14" s="15">
        <f t="shared" si="0"/>
        <v>12195</v>
      </c>
    </row>
    <row r="15" spans="1:14" ht="15.75" x14ac:dyDescent="0.25">
      <c r="A15" s="2" t="s">
        <v>23</v>
      </c>
      <c r="B15" s="11">
        <f>SUM(B5:B6)*Données!$B$33</f>
        <v>234</v>
      </c>
      <c r="C15" s="11">
        <f>SUM(C5:C6)*Données!$B$33</f>
        <v>366</v>
      </c>
      <c r="D15" s="11">
        <f>SUM(D5:D6)*Données!$B$33</f>
        <v>204</v>
      </c>
      <c r="E15" s="11">
        <f>SUM(E5:E6)*Données!$B$33</f>
        <v>402</v>
      </c>
      <c r="F15" s="11">
        <f>SUM(F5:F6)*Données!$B$33</f>
        <v>258</v>
      </c>
      <c r="G15" s="11">
        <f>SUM(G5:G6)*Données!$B$33</f>
        <v>294</v>
      </c>
      <c r="H15" s="11">
        <f>SUM(H5:H6)*Données!$B$33</f>
        <v>306</v>
      </c>
      <c r="I15" s="11">
        <f>SUM(I5:I6)*Données!$B$33</f>
        <v>174</v>
      </c>
      <c r="J15" s="11">
        <f>SUM(J5:J6)*Données!$B$33</f>
        <v>258</v>
      </c>
      <c r="K15" s="11">
        <f>SUM(K5:K6)*Données!$B$33</f>
        <v>300</v>
      </c>
      <c r="L15" s="11">
        <f>SUM(L5:L6)*Données!$B$33</f>
        <v>294</v>
      </c>
      <c r="M15" s="11">
        <f>SUM(M5:M6)*Données!$B$33</f>
        <v>264</v>
      </c>
      <c r="N15" s="15">
        <f t="shared" si="0"/>
        <v>3354</v>
      </c>
    </row>
    <row r="16" spans="1:14" ht="15.75" x14ac:dyDescent="0.25">
      <c r="A16" s="16" t="s">
        <v>55</v>
      </c>
      <c r="B16" s="17">
        <f t="shared" ref="B16:M16" si="2">SUM(B9:B15)</f>
        <v>5574</v>
      </c>
      <c r="C16" s="17">
        <f t="shared" si="2"/>
        <v>6411</v>
      </c>
      <c r="D16" s="17">
        <f t="shared" si="2"/>
        <v>11324</v>
      </c>
      <c r="E16" s="17">
        <f t="shared" si="2"/>
        <v>7117</v>
      </c>
      <c r="F16" s="17">
        <f t="shared" si="2"/>
        <v>9228</v>
      </c>
      <c r="G16" s="17">
        <f t="shared" si="2"/>
        <v>10834</v>
      </c>
      <c r="H16" s="17">
        <f t="shared" si="2"/>
        <v>7111</v>
      </c>
      <c r="I16" s="17">
        <f t="shared" si="2"/>
        <v>9139</v>
      </c>
      <c r="J16" s="17">
        <f t="shared" si="2"/>
        <v>4833</v>
      </c>
      <c r="K16" s="17">
        <f t="shared" si="2"/>
        <v>5990</v>
      </c>
      <c r="L16" s="17">
        <f t="shared" si="2"/>
        <v>10424</v>
      </c>
      <c r="M16" s="17">
        <f t="shared" si="2"/>
        <v>6304</v>
      </c>
      <c r="N16" s="18">
        <f t="shared" si="0"/>
        <v>94289</v>
      </c>
    </row>
    <row r="17" spans="1:14" ht="15.75" x14ac:dyDescent="0.25">
      <c r="A17" s="16" t="s">
        <v>56</v>
      </c>
      <c r="B17" s="17">
        <f t="shared" ref="B17:M17" si="3">B8+B16</f>
        <v>10270.666666666668</v>
      </c>
      <c r="C17" s="17">
        <f t="shared" si="3"/>
        <v>11107.666666666668</v>
      </c>
      <c r="D17" s="17">
        <f t="shared" si="3"/>
        <v>16020.666666666668</v>
      </c>
      <c r="E17" s="17">
        <f t="shared" si="3"/>
        <v>11813.666666666668</v>
      </c>
      <c r="F17" s="17">
        <f t="shared" si="3"/>
        <v>13924.666666666668</v>
      </c>
      <c r="G17" s="17">
        <f t="shared" si="3"/>
        <v>15530.666666666668</v>
      </c>
      <c r="H17" s="17">
        <f t="shared" si="3"/>
        <v>11807.666666666668</v>
      </c>
      <c r="I17" s="17">
        <f t="shared" si="3"/>
        <v>13835.666666666668</v>
      </c>
      <c r="J17" s="17">
        <f t="shared" si="3"/>
        <v>9529.6666666666679</v>
      </c>
      <c r="K17" s="17">
        <f t="shared" si="3"/>
        <v>10686.666666666668</v>
      </c>
      <c r="L17" s="17">
        <f t="shared" si="3"/>
        <v>15120.666666666668</v>
      </c>
      <c r="M17" s="17">
        <f t="shared" si="3"/>
        <v>11000.666666666668</v>
      </c>
      <c r="N17" s="18">
        <f>SUM(B17:M17)</f>
        <v>150649.00000000003</v>
      </c>
    </row>
    <row r="18" spans="1:14" ht="15.75" x14ac:dyDescent="0.25">
      <c r="A18" s="19" t="s">
        <v>57</v>
      </c>
      <c r="B18" s="18">
        <f t="shared" ref="B18:M18" si="4">B7-B17</f>
        <v>-2100.6666666666679</v>
      </c>
      <c r="C18" s="18">
        <f t="shared" si="4"/>
        <v>-1427.6666666666679</v>
      </c>
      <c r="D18" s="18">
        <f t="shared" si="4"/>
        <v>299.33333333333212</v>
      </c>
      <c r="E18" s="18">
        <f t="shared" si="4"/>
        <v>-1353.6666666666679</v>
      </c>
      <c r="F18" s="18">
        <f t="shared" si="4"/>
        <v>-234.66666666666788</v>
      </c>
      <c r="G18" s="18">
        <f t="shared" si="4"/>
        <v>439.33333333333212</v>
      </c>
      <c r="H18" s="18">
        <f t="shared" si="4"/>
        <v>-1327.6666666666679</v>
      </c>
      <c r="I18" s="18">
        <f t="shared" si="4"/>
        <v>-715.66666666666788</v>
      </c>
      <c r="J18" s="18">
        <f t="shared" si="4"/>
        <v>-2289.6666666666679</v>
      </c>
      <c r="K18" s="18">
        <f t="shared" si="4"/>
        <v>-1786.6666666666679</v>
      </c>
      <c r="L18" s="18">
        <f t="shared" si="4"/>
        <v>249.33333333333212</v>
      </c>
      <c r="M18" s="18">
        <f t="shared" si="4"/>
        <v>-1680.6666666666679</v>
      </c>
      <c r="N18" s="18">
        <f t="shared" si="0"/>
        <v>-11929.000000000015</v>
      </c>
    </row>
  </sheetData>
  <conditionalFormatting sqref="B18:N18">
    <cfRule type="cellIs" dxfId="3" priority="1" stopIfTrue="1" operator="lessThan">
      <formula>0</formula>
    </cfRule>
    <cfRule type="cellIs" dxfId="2" priority="2" stopIfTrue="1" operator="greater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abSelected="1" workbookViewId="0">
      <selection activeCell="J32" sqref="J32"/>
    </sheetView>
  </sheetViews>
  <sheetFormatPr baseColWidth="10" defaultColWidth="9.140625" defaultRowHeight="15" x14ac:dyDescent="0.25"/>
  <cols>
    <col min="1" max="1" width="24" customWidth="1"/>
    <col min="2" max="14" width="14" customWidth="1"/>
  </cols>
  <sheetData>
    <row r="1" spans="1:14" ht="15.75" x14ac:dyDescent="0.25">
      <c r="A1" s="1"/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11</v>
      </c>
    </row>
    <row r="2" spans="1:14" ht="15.75" x14ac:dyDescent="0.25">
      <c r="A2" s="2" t="s">
        <v>43</v>
      </c>
      <c r="B2" s="11">
        <f>Données!B39*Données!$B$17</f>
        <v>1950</v>
      </c>
      <c r="C2" s="11">
        <f>Données!C39*Données!$B$17</f>
        <v>1050</v>
      </c>
      <c r="D2" s="11">
        <f>Données!D39*Données!$B$17</f>
        <v>3750</v>
      </c>
      <c r="E2" s="11">
        <f>Données!E39*Données!$B$17</f>
        <v>3300</v>
      </c>
      <c r="F2" s="11">
        <f>Données!F39*Données!$B$17</f>
        <v>1050</v>
      </c>
      <c r="G2" s="11">
        <f>Données!G39*Données!$B$17</f>
        <v>2250</v>
      </c>
      <c r="H2" s="11">
        <f>Données!H39*Données!$B$17</f>
        <v>1500</v>
      </c>
      <c r="I2" s="11">
        <f>Données!I39*Données!$B$17</f>
        <v>3600</v>
      </c>
      <c r="J2" s="11">
        <f>Données!J39*Données!$B$17</f>
        <v>900</v>
      </c>
      <c r="K2" s="11">
        <f>Données!K39*Données!$B$17</f>
        <v>1050</v>
      </c>
      <c r="L2" s="11">
        <f>Données!L39*Données!$B$17</f>
        <v>1500</v>
      </c>
      <c r="M2" s="11">
        <f>Données!M39*Données!$B$17</f>
        <v>1950</v>
      </c>
      <c r="N2" s="15">
        <f t="shared" ref="N2:N18" si="0">SUM(B2:M2)</f>
        <v>23850</v>
      </c>
    </row>
    <row r="3" spans="1:14" ht="15.75" x14ac:dyDescent="0.25">
      <c r="A3" s="2" t="s">
        <v>44</v>
      </c>
      <c r="B3" s="11">
        <f>Données!B40*Données!$B$18</f>
        <v>2250</v>
      </c>
      <c r="C3" s="11">
        <f>Données!C40*Données!$B$18</f>
        <v>2250</v>
      </c>
      <c r="D3" s="11">
        <f>Données!D40*Données!$B$18</f>
        <v>5250</v>
      </c>
      <c r="E3" s="11">
        <f>Données!E40*Données!$B$18</f>
        <v>2000</v>
      </c>
      <c r="F3" s="11">
        <f>Données!F40*Données!$B$18</f>
        <v>4000</v>
      </c>
      <c r="G3" s="11">
        <f>Données!G40*Données!$B$18</f>
        <v>3500</v>
      </c>
      <c r="H3" s="11">
        <f>Données!H40*Données!$B$18</f>
        <v>5000</v>
      </c>
      <c r="I3" s="11">
        <f>Données!I40*Données!$B$18</f>
        <v>3750</v>
      </c>
      <c r="J3" s="11">
        <f>Données!J40*Données!$B$18</f>
        <v>2250</v>
      </c>
      <c r="K3" s="11">
        <f>Données!K40*Données!$B$18</f>
        <v>4250</v>
      </c>
      <c r="L3" s="11">
        <f>Données!L40*Données!$B$18</f>
        <v>5750</v>
      </c>
      <c r="M3" s="11">
        <f>Données!M40*Données!$B$18</f>
        <v>1500</v>
      </c>
      <c r="N3" s="15">
        <f t="shared" si="0"/>
        <v>41750</v>
      </c>
    </row>
    <row r="4" spans="1:14" ht="15.75" x14ac:dyDescent="0.25">
      <c r="A4" s="2" t="s">
        <v>45</v>
      </c>
      <c r="B4" s="11">
        <f>Données!B41*Données!$B$19</f>
        <v>2800</v>
      </c>
      <c r="C4" s="11">
        <f>Données!C41*Données!$B$19</f>
        <v>4550</v>
      </c>
      <c r="D4" s="11">
        <f>Données!D41*Données!$B$19</f>
        <v>6300</v>
      </c>
      <c r="E4" s="11">
        <f>Données!E41*Données!$B$19</f>
        <v>3150</v>
      </c>
      <c r="F4" s="11">
        <f>Données!F41*Données!$B$19</f>
        <v>7350</v>
      </c>
      <c r="G4" s="11">
        <f>Données!G41*Données!$B$19</f>
        <v>8750</v>
      </c>
      <c r="H4" s="11">
        <f>Données!H41*Données!$B$19</f>
        <v>2450</v>
      </c>
      <c r="I4" s="11">
        <f>Données!I41*Données!$B$19</f>
        <v>4900</v>
      </c>
      <c r="J4" s="11">
        <f>Données!J41*Données!$B$19</f>
        <v>2800</v>
      </c>
      <c r="K4" s="11">
        <f>Données!K41*Données!$B$19</f>
        <v>2100</v>
      </c>
      <c r="L4" s="11">
        <f>Données!L41*Données!$B$19</f>
        <v>6650</v>
      </c>
      <c r="M4" s="11">
        <f>Données!M41*Données!$B$19</f>
        <v>4550</v>
      </c>
      <c r="N4" s="15">
        <f t="shared" si="0"/>
        <v>56350</v>
      </c>
    </row>
    <row r="5" spans="1:14" ht="15.75" x14ac:dyDescent="0.25">
      <c r="A5" s="2" t="s">
        <v>46</v>
      </c>
      <c r="B5" s="11">
        <f>Données!B42*Données!$B$20</f>
        <v>390</v>
      </c>
      <c r="C5" s="11">
        <f>Données!C42*Données!$B$20</f>
        <v>750</v>
      </c>
      <c r="D5" s="11">
        <f>Données!D42*Données!$B$20</f>
        <v>180</v>
      </c>
      <c r="E5" s="11">
        <f>Données!E42*Données!$B$20</f>
        <v>570</v>
      </c>
      <c r="F5" s="11">
        <f>Données!F42*Données!$B$20</f>
        <v>750</v>
      </c>
      <c r="G5" s="11">
        <f>Données!G42*Données!$B$20</f>
        <v>390</v>
      </c>
      <c r="H5" s="11">
        <f>Données!H42*Données!$B$20</f>
        <v>510</v>
      </c>
      <c r="I5" s="11">
        <f>Données!I42*Données!$B$20</f>
        <v>330</v>
      </c>
      <c r="J5" s="11">
        <f>Données!J42*Données!$B$20</f>
        <v>450</v>
      </c>
      <c r="K5" s="11">
        <f>Données!K42*Données!$B$20</f>
        <v>180</v>
      </c>
      <c r="L5" s="11">
        <f>Données!L42*Données!$B$20</f>
        <v>630</v>
      </c>
      <c r="M5" s="11">
        <f>Données!M42*Données!$B$20</f>
        <v>180</v>
      </c>
      <c r="N5" s="15">
        <f t="shared" si="0"/>
        <v>5310</v>
      </c>
    </row>
    <row r="6" spans="1:14" ht="15.75" x14ac:dyDescent="0.25">
      <c r="A6" s="2" t="s">
        <v>47</v>
      </c>
      <c r="B6" s="11">
        <f>Données!B43*Données!$B$21</f>
        <v>780</v>
      </c>
      <c r="C6" s="11">
        <f>Données!C43*Données!$B$21</f>
        <v>1080</v>
      </c>
      <c r="D6" s="11">
        <f>Données!D43*Données!$B$21</f>
        <v>840</v>
      </c>
      <c r="E6" s="11">
        <f>Données!E43*Données!$B$21</f>
        <v>1440</v>
      </c>
      <c r="F6" s="11">
        <f>Données!F43*Données!$B$21</f>
        <v>540</v>
      </c>
      <c r="G6" s="11">
        <f>Données!G43*Données!$B$21</f>
        <v>1080</v>
      </c>
      <c r="H6" s="11">
        <f>Données!H43*Données!$B$21</f>
        <v>1020</v>
      </c>
      <c r="I6" s="11">
        <f>Données!I43*Données!$B$21</f>
        <v>540</v>
      </c>
      <c r="J6" s="11">
        <f>Données!J43*Données!$B$21</f>
        <v>840</v>
      </c>
      <c r="K6" s="11">
        <f>Données!K43*Données!$B$21</f>
        <v>1320</v>
      </c>
      <c r="L6" s="11">
        <f>Données!L43*Données!$B$21</f>
        <v>840</v>
      </c>
      <c r="M6" s="11">
        <f>Données!M43*Données!$B$21</f>
        <v>1140</v>
      </c>
      <c r="N6" s="15">
        <f t="shared" si="0"/>
        <v>11460</v>
      </c>
    </row>
    <row r="7" spans="1:14" ht="15.75" x14ac:dyDescent="0.25">
      <c r="A7" s="16" t="s">
        <v>48</v>
      </c>
      <c r="B7" s="17">
        <f t="shared" ref="B7:M7" si="1">SUM(B2:B6)</f>
        <v>8170</v>
      </c>
      <c r="C7" s="17">
        <f t="shared" si="1"/>
        <v>9680</v>
      </c>
      <c r="D7" s="17">
        <f t="shared" si="1"/>
        <v>16320</v>
      </c>
      <c r="E7" s="17">
        <f t="shared" si="1"/>
        <v>10460</v>
      </c>
      <c r="F7" s="17">
        <f t="shared" si="1"/>
        <v>13690</v>
      </c>
      <c r="G7" s="17">
        <f t="shared" si="1"/>
        <v>15970</v>
      </c>
      <c r="H7" s="17">
        <f t="shared" si="1"/>
        <v>10480</v>
      </c>
      <c r="I7" s="17">
        <f t="shared" si="1"/>
        <v>13120</v>
      </c>
      <c r="J7" s="17">
        <f t="shared" si="1"/>
        <v>7240</v>
      </c>
      <c r="K7" s="17">
        <f t="shared" si="1"/>
        <v>8900</v>
      </c>
      <c r="L7" s="17">
        <f t="shared" si="1"/>
        <v>15370</v>
      </c>
      <c r="M7" s="17">
        <f t="shared" si="1"/>
        <v>9320</v>
      </c>
      <c r="N7" s="18">
        <f>SUM(B7:M7)</f>
        <v>138720</v>
      </c>
    </row>
    <row r="8" spans="1:14" ht="15.75" x14ac:dyDescent="0.25">
      <c r="A8" s="2" t="s">
        <v>49</v>
      </c>
      <c r="B8" s="11">
        <f>Données!$B$12</f>
        <v>4696.666666666667</v>
      </c>
      <c r="C8" s="11">
        <f>Données!$B$12</f>
        <v>4696.666666666667</v>
      </c>
      <c r="D8" s="11">
        <f>Données!$B$12</f>
        <v>4696.666666666667</v>
      </c>
      <c r="E8" s="11">
        <f>Données!$B$12</f>
        <v>4696.666666666667</v>
      </c>
      <c r="F8" s="11">
        <f>Données!$B$12</f>
        <v>4696.666666666667</v>
      </c>
      <c r="G8" s="11">
        <f>Données!$B$12</f>
        <v>4696.666666666667</v>
      </c>
      <c r="H8" s="11">
        <f>Données!$B$12</f>
        <v>4696.666666666667</v>
      </c>
      <c r="I8" s="11">
        <f>Données!$B$12</f>
        <v>4696.666666666667</v>
      </c>
      <c r="J8" s="11">
        <f>Données!$B$12</f>
        <v>4696.666666666667</v>
      </c>
      <c r="K8" s="11">
        <f>Données!$B$12</f>
        <v>4696.666666666667</v>
      </c>
      <c r="L8" s="11">
        <f>Données!$B$12</f>
        <v>4696.666666666667</v>
      </c>
      <c r="M8" s="11">
        <f>Données!$B$12</f>
        <v>4696.666666666667</v>
      </c>
      <c r="N8" s="15">
        <f t="shared" si="0"/>
        <v>56359.999999999993</v>
      </c>
    </row>
    <row r="9" spans="1:14" ht="15.75" x14ac:dyDescent="0.25">
      <c r="A9" s="2" t="s">
        <v>50</v>
      </c>
      <c r="B9" s="11">
        <f>Données!B39*Données!$B$26</f>
        <v>1300</v>
      </c>
      <c r="C9" s="11">
        <f>Données!C39*Données!$B$26</f>
        <v>700</v>
      </c>
      <c r="D9" s="11">
        <f>Données!D39*Données!$B$26</f>
        <v>2500</v>
      </c>
      <c r="E9" s="11">
        <f>Données!E39*Données!$B$26</f>
        <v>2200</v>
      </c>
      <c r="F9" s="11">
        <f>Données!F39*Données!$B$26</f>
        <v>700</v>
      </c>
      <c r="G9" s="11">
        <f>Données!G39*Données!$B$26</f>
        <v>1500</v>
      </c>
      <c r="H9" s="11">
        <f>Données!H39*Données!$B$26</f>
        <v>1000</v>
      </c>
      <c r="I9" s="11">
        <f>Données!I39*Données!$B$26</f>
        <v>2400</v>
      </c>
      <c r="J9" s="11">
        <f>Données!J39*Données!$B$26</f>
        <v>600</v>
      </c>
      <c r="K9" s="11">
        <f>Données!K39*Données!$B$26</f>
        <v>700</v>
      </c>
      <c r="L9" s="11">
        <f>Données!L39*Données!$B$26</f>
        <v>1000</v>
      </c>
      <c r="M9" s="11">
        <f>Données!M39*Données!$B$26</f>
        <v>1300</v>
      </c>
      <c r="N9" s="15">
        <f t="shared" si="0"/>
        <v>15900</v>
      </c>
    </row>
    <row r="10" spans="1:14" ht="15.75" x14ac:dyDescent="0.25">
      <c r="A10" s="2" t="s">
        <v>51</v>
      </c>
      <c r="B10" s="11">
        <f>Données!B40*Données!$B$27</f>
        <v>1350</v>
      </c>
      <c r="C10" s="11">
        <f>Données!C40*Données!$B$27</f>
        <v>1350</v>
      </c>
      <c r="D10" s="11">
        <f>Données!D40*Données!$B$27</f>
        <v>3150</v>
      </c>
      <c r="E10" s="11">
        <f>Données!E40*Données!$B$27</f>
        <v>1200</v>
      </c>
      <c r="F10" s="11">
        <f>Données!F40*Données!$B$27</f>
        <v>2400</v>
      </c>
      <c r="G10" s="11">
        <f>Données!G40*Données!$B$27</f>
        <v>2100</v>
      </c>
      <c r="H10" s="11">
        <f>Données!H40*Données!$B$27</f>
        <v>3000</v>
      </c>
      <c r="I10" s="11">
        <f>Données!I40*Données!$B$27</f>
        <v>2250</v>
      </c>
      <c r="J10" s="11">
        <f>Données!J40*Données!$B$27</f>
        <v>1350</v>
      </c>
      <c r="K10" s="11">
        <f>Données!K40*Données!$B$27</f>
        <v>2550</v>
      </c>
      <c r="L10" s="11">
        <f>Données!L40*Données!$B$27</f>
        <v>3450</v>
      </c>
      <c r="M10" s="11">
        <f>Données!M40*Données!$B$27</f>
        <v>900</v>
      </c>
      <c r="N10" s="15">
        <f t="shared" si="0"/>
        <v>25050</v>
      </c>
    </row>
    <row r="11" spans="1:14" ht="15.75" x14ac:dyDescent="0.25">
      <c r="A11" s="2" t="s">
        <v>52</v>
      </c>
      <c r="B11" s="11">
        <f>Données!B41*Données!$B$28</f>
        <v>1600</v>
      </c>
      <c r="C11" s="11">
        <f>Données!C41*Données!$B$28</f>
        <v>2600</v>
      </c>
      <c r="D11" s="11">
        <f>Données!D41*Données!$B$28</f>
        <v>3600</v>
      </c>
      <c r="E11" s="11">
        <f>Données!E41*Données!$B$28</f>
        <v>1800</v>
      </c>
      <c r="F11" s="11">
        <f>Données!F41*Données!$B$28</f>
        <v>4200</v>
      </c>
      <c r="G11" s="11">
        <f>Données!G41*Données!$B$28</f>
        <v>5000</v>
      </c>
      <c r="H11" s="11">
        <f>Données!H41*Données!$B$28</f>
        <v>1400</v>
      </c>
      <c r="I11" s="11">
        <f>Données!I41*Données!$B$28</f>
        <v>2800</v>
      </c>
      <c r="J11" s="11">
        <f>Données!J41*Données!$B$28</f>
        <v>1600</v>
      </c>
      <c r="K11" s="11">
        <f>Données!K41*Données!$B$28</f>
        <v>1200</v>
      </c>
      <c r="L11" s="11">
        <f>Données!L41*Données!$B$28</f>
        <v>3800</v>
      </c>
      <c r="M11" s="11">
        <f>Données!M41*Données!$B$28</f>
        <v>2600</v>
      </c>
      <c r="N11" s="15">
        <f t="shared" si="0"/>
        <v>32200</v>
      </c>
    </row>
    <row r="12" spans="1:14" ht="15.75" x14ac:dyDescent="0.25">
      <c r="A12" s="2" t="s">
        <v>53</v>
      </c>
      <c r="B12" s="11">
        <f>Données!B42*Données!$B$29</f>
        <v>130</v>
      </c>
      <c r="C12" s="11">
        <f>Données!C42*Données!$B$29</f>
        <v>250</v>
      </c>
      <c r="D12" s="11">
        <f>Données!D42*Données!$B$29</f>
        <v>60</v>
      </c>
      <c r="E12" s="11">
        <f>Données!E42*Données!$B$29</f>
        <v>190</v>
      </c>
      <c r="F12" s="11">
        <f>Données!F42*Données!$B$29</f>
        <v>250</v>
      </c>
      <c r="G12" s="11">
        <f>Données!G42*Données!$B$29</f>
        <v>130</v>
      </c>
      <c r="H12" s="11">
        <f>Données!H42*Données!$B$29</f>
        <v>170</v>
      </c>
      <c r="I12" s="11">
        <f>Données!I42*Données!$B$29</f>
        <v>110</v>
      </c>
      <c r="J12" s="11">
        <f>Données!J42*Données!$B$29</f>
        <v>150</v>
      </c>
      <c r="K12" s="11">
        <f>Données!K42*Données!$B$29</f>
        <v>60</v>
      </c>
      <c r="L12" s="11">
        <f>Données!L42*Données!$B$29</f>
        <v>210</v>
      </c>
      <c r="M12" s="11">
        <f>Données!M42*Données!$B$29</f>
        <v>60</v>
      </c>
      <c r="N12" s="15">
        <f t="shared" si="0"/>
        <v>1770</v>
      </c>
    </row>
    <row r="13" spans="1:14" ht="15.75" x14ac:dyDescent="0.25">
      <c r="A13" s="2" t="s">
        <v>54</v>
      </c>
      <c r="B13" s="11">
        <f>Données!B43*Données!$B$30</f>
        <v>260</v>
      </c>
      <c r="C13" s="11">
        <f>Données!C43*Données!$B$30</f>
        <v>360</v>
      </c>
      <c r="D13" s="11">
        <f>Données!D43*Données!$B$30</f>
        <v>280</v>
      </c>
      <c r="E13" s="11">
        <f>Données!E43*Données!$B$30</f>
        <v>480</v>
      </c>
      <c r="F13" s="11">
        <f>Données!F43*Données!$B$30</f>
        <v>180</v>
      </c>
      <c r="G13" s="11">
        <f>Données!G43*Données!$B$30</f>
        <v>360</v>
      </c>
      <c r="H13" s="11">
        <f>Données!H43*Données!$B$30</f>
        <v>340</v>
      </c>
      <c r="I13" s="11">
        <f>Données!I43*Données!$B$30</f>
        <v>180</v>
      </c>
      <c r="J13" s="11">
        <f>Données!J43*Données!$B$30</f>
        <v>280</v>
      </c>
      <c r="K13" s="11">
        <f>Données!K43*Données!$B$30</f>
        <v>440</v>
      </c>
      <c r="L13" s="11">
        <f>Données!L43*Données!$B$30</f>
        <v>280</v>
      </c>
      <c r="M13" s="11">
        <f>Données!M43*Données!$B$30</f>
        <v>380</v>
      </c>
      <c r="N13" s="15">
        <f t="shared" si="0"/>
        <v>3820</v>
      </c>
    </row>
    <row r="14" spans="1:14" ht="15.75" x14ac:dyDescent="0.25">
      <c r="A14" s="2" t="s">
        <v>21</v>
      </c>
      <c r="B14" s="11">
        <f>SUM(B2:B4)*Données!$E$32</f>
        <v>350</v>
      </c>
      <c r="C14" s="11">
        <f>SUM(C2:C4)*Données!$E$32</f>
        <v>392.5</v>
      </c>
      <c r="D14" s="11">
        <f>SUM(D2:D4)*Données!$E$32</f>
        <v>765</v>
      </c>
      <c r="E14" s="11">
        <f>SUM(E2:E4)*Données!$E$32</f>
        <v>422.5</v>
      </c>
      <c r="F14" s="11">
        <f>SUM(F2:F4)*Données!$E$32</f>
        <v>620</v>
      </c>
      <c r="G14" s="11">
        <f>SUM(G2:G4)*Données!$E$32</f>
        <v>725</v>
      </c>
      <c r="H14" s="11">
        <f>SUM(H2:H4)*Données!$E$32</f>
        <v>447.5</v>
      </c>
      <c r="I14" s="11">
        <f>SUM(I2:I4)*Données!$E$32</f>
        <v>612.5</v>
      </c>
      <c r="J14" s="11">
        <f>SUM(J2:J4)*Données!$E$32</f>
        <v>297.5</v>
      </c>
      <c r="K14" s="11">
        <f>SUM(K2:K4)*Données!$E$32</f>
        <v>370</v>
      </c>
      <c r="L14" s="11">
        <f>SUM(L2:L4)*Données!$E$32</f>
        <v>695</v>
      </c>
      <c r="M14" s="11">
        <f>SUM(M2:M4)*Données!$E$32</f>
        <v>400</v>
      </c>
      <c r="N14" s="15">
        <f t="shared" si="0"/>
        <v>6097.5</v>
      </c>
    </row>
    <row r="15" spans="1:14" ht="15.75" x14ac:dyDescent="0.25">
      <c r="A15" s="2" t="s">
        <v>23</v>
      </c>
      <c r="B15" s="11">
        <f>SUM(B5:B6)*Données!$E$33</f>
        <v>58.5</v>
      </c>
      <c r="C15" s="11">
        <f>SUM(C5:C6)*Données!$E$33</f>
        <v>91.5</v>
      </c>
      <c r="D15" s="11">
        <f>SUM(D5:D6)*Données!$E$33</f>
        <v>51</v>
      </c>
      <c r="E15" s="11">
        <f>SUM(E5:E6)*Données!$E$33</f>
        <v>100.5</v>
      </c>
      <c r="F15" s="11">
        <f>SUM(F5:F6)*Données!$E$33</f>
        <v>64.5</v>
      </c>
      <c r="G15" s="11">
        <f>SUM(G5:G6)*Données!$E$33</f>
        <v>73.5</v>
      </c>
      <c r="H15" s="11">
        <f>SUM(H5:H6)*Données!$E$33</f>
        <v>76.5</v>
      </c>
      <c r="I15" s="11">
        <f>SUM(I5:I6)*Données!$E$33</f>
        <v>43.5</v>
      </c>
      <c r="J15" s="11">
        <f>SUM(J5:J6)*Données!$E$33</f>
        <v>64.5</v>
      </c>
      <c r="K15" s="11">
        <f>SUM(K5:K6)*Données!$E$33</f>
        <v>75</v>
      </c>
      <c r="L15" s="11">
        <f>SUM(L5:L6)*Données!$E$33</f>
        <v>73.5</v>
      </c>
      <c r="M15" s="11">
        <f>SUM(M5:M6)*Données!$E$33</f>
        <v>66</v>
      </c>
      <c r="N15" s="15">
        <f t="shared" si="0"/>
        <v>838.5</v>
      </c>
    </row>
    <row r="16" spans="1:14" ht="15.75" x14ac:dyDescent="0.25">
      <c r="A16" s="16" t="s">
        <v>55</v>
      </c>
      <c r="B16" s="17">
        <f t="shared" ref="B16:M16" si="2">SUM(B9:B15)</f>
        <v>5048.5</v>
      </c>
      <c r="C16" s="17">
        <f t="shared" si="2"/>
        <v>5744</v>
      </c>
      <c r="D16" s="17">
        <f t="shared" si="2"/>
        <v>10406</v>
      </c>
      <c r="E16" s="17">
        <f t="shared" si="2"/>
        <v>6393</v>
      </c>
      <c r="F16" s="17">
        <f t="shared" si="2"/>
        <v>8414.5</v>
      </c>
      <c r="G16" s="17">
        <f t="shared" si="2"/>
        <v>9888.5</v>
      </c>
      <c r="H16" s="17">
        <f t="shared" si="2"/>
        <v>6434</v>
      </c>
      <c r="I16" s="17">
        <f t="shared" si="2"/>
        <v>8396</v>
      </c>
      <c r="J16" s="17">
        <f t="shared" si="2"/>
        <v>4342</v>
      </c>
      <c r="K16" s="17">
        <f t="shared" si="2"/>
        <v>5395</v>
      </c>
      <c r="L16" s="17">
        <f t="shared" si="2"/>
        <v>9508.5</v>
      </c>
      <c r="M16" s="17">
        <f t="shared" si="2"/>
        <v>5706</v>
      </c>
      <c r="N16" s="18">
        <f t="shared" si="0"/>
        <v>85676</v>
      </c>
    </row>
    <row r="17" spans="1:14" ht="15.75" x14ac:dyDescent="0.25">
      <c r="A17" s="16" t="s">
        <v>56</v>
      </c>
      <c r="B17" s="17">
        <f t="shared" ref="B17:M17" si="3">B8+B16</f>
        <v>9745.1666666666679</v>
      </c>
      <c r="C17" s="17">
        <f t="shared" si="3"/>
        <v>10440.666666666668</v>
      </c>
      <c r="D17" s="17">
        <f t="shared" si="3"/>
        <v>15102.666666666668</v>
      </c>
      <c r="E17" s="17">
        <f t="shared" si="3"/>
        <v>11089.666666666668</v>
      </c>
      <c r="F17" s="17">
        <f t="shared" si="3"/>
        <v>13111.166666666668</v>
      </c>
      <c r="G17" s="17">
        <f t="shared" si="3"/>
        <v>14585.166666666668</v>
      </c>
      <c r="H17" s="17">
        <f t="shared" si="3"/>
        <v>11130.666666666668</v>
      </c>
      <c r="I17" s="17">
        <f t="shared" si="3"/>
        <v>13092.666666666668</v>
      </c>
      <c r="J17" s="17">
        <f t="shared" si="3"/>
        <v>9038.6666666666679</v>
      </c>
      <c r="K17" s="17">
        <f t="shared" si="3"/>
        <v>10091.666666666668</v>
      </c>
      <c r="L17" s="17">
        <f t="shared" si="3"/>
        <v>14205.166666666668</v>
      </c>
      <c r="M17" s="17">
        <f t="shared" si="3"/>
        <v>10402.666666666668</v>
      </c>
      <c r="N17" s="18">
        <f>SUM(B17:M17)</f>
        <v>142036.00000000003</v>
      </c>
    </row>
    <row r="18" spans="1:14" ht="15.75" x14ac:dyDescent="0.25">
      <c r="A18" s="19" t="s">
        <v>57</v>
      </c>
      <c r="B18" s="18">
        <f t="shared" ref="B18:M18" si="4">B7-B17</f>
        <v>-1575.1666666666679</v>
      </c>
      <c r="C18" s="18">
        <f t="shared" si="4"/>
        <v>-760.66666666666788</v>
      </c>
      <c r="D18" s="18">
        <f t="shared" si="4"/>
        <v>1217.3333333333321</v>
      </c>
      <c r="E18" s="18">
        <f t="shared" si="4"/>
        <v>-629.66666666666788</v>
      </c>
      <c r="F18" s="18">
        <f t="shared" si="4"/>
        <v>578.83333333333212</v>
      </c>
      <c r="G18" s="18">
        <f t="shared" si="4"/>
        <v>1384.8333333333321</v>
      </c>
      <c r="H18" s="18">
        <f t="shared" si="4"/>
        <v>-650.66666666666788</v>
      </c>
      <c r="I18" s="18">
        <f t="shared" si="4"/>
        <v>27.333333333332121</v>
      </c>
      <c r="J18" s="18">
        <f t="shared" si="4"/>
        <v>-1798.6666666666679</v>
      </c>
      <c r="K18" s="18">
        <f t="shared" si="4"/>
        <v>-1191.6666666666679</v>
      </c>
      <c r="L18" s="18">
        <f t="shared" si="4"/>
        <v>1164.8333333333321</v>
      </c>
      <c r="M18" s="18">
        <f t="shared" si="4"/>
        <v>-1082.6666666666679</v>
      </c>
      <c r="N18" s="18">
        <f t="shared" si="0"/>
        <v>-3316.0000000000146</v>
      </c>
    </row>
    <row r="36" spans="13:13" x14ac:dyDescent="0.25">
      <c r="M36" s="14"/>
    </row>
  </sheetData>
  <conditionalFormatting sqref="B18:N18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Bilan 2016</vt:lpstr>
      <vt:lpstr>Simulation Aide État (5%)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ldv</cp:lastModifiedBy>
  <dcterms:created xsi:type="dcterms:W3CDTF">2026-09-17T14:24:33Z</dcterms:created>
  <dcterms:modified xsi:type="dcterms:W3CDTF">2026-09-17T16:39:26Z</dcterms:modified>
</cp:coreProperties>
</file>